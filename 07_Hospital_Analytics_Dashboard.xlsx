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2563A49-16D6-4635-BFF8-AC816D9BDD6F}" xr6:coauthVersionLast="47" xr6:coauthVersionMax="47" xr10:uidLastSave="{00000000-0000-0000-0000-000000000000}"/>
  <bookViews>
    <workbookView xWindow="-12" yWindow="-12" windowWidth="23064" windowHeight="12984" xr2:uid="{B219A284-D5E1-4A48-9710-668F26374597}"/>
  </bookViews>
  <sheets>
    <sheet name="Dashboard" sheetId="16" r:id="rId1"/>
    <sheet name="KPI_Data" sheetId="5" r:id="rId2"/>
    <sheet name="Appointment_Dept" sheetId="7" r:id="rId3"/>
    <sheet name="Appointment_Status" sheetId="9" r:id="rId4"/>
    <sheet name="Monthly_Appointments" sheetId="20" r:id="rId5"/>
    <sheet name="Monthly_Revenue" sheetId="18" r:id="rId6"/>
    <sheet name="Admission_Dept" sheetId="13" r:id="rId7"/>
    <sheet name="Top_Doctors" sheetId="15" r:id="rId8"/>
    <sheet name="hospital_management_system" sheetId="2" r:id="rId9"/>
  </sheets>
  <definedNames>
    <definedName name="ExternalData_1" localSheetId="8" hidden="1">hospital_management_system!$A$1:$C$9</definedName>
    <definedName name="ExternalData_10" localSheetId="6" hidden="1">Admission_Dept!$A$1:$B$9</definedName>
    <definedName name="ExternalData_2" localSheetId="1" hidden="1">KPI_Data!#REF!</definedName>
    <definedName name="ExternalData_2" localSheetId="4" hidden="1">Monthly_Appointments!$A$2:$B$23</definedName>
    <definedName name="ExternalData_2" localSheetId="7" hidden="1">Top_Doctors!$A$1:$C$11</definedName>
    <definedName name="ExternalData_3" localSheetId="5" hidden="1">Monthly_Revenue!$A$1:$B$23</definedName>
    <definedName name="ExternalData_4" localSheetId="2" hidden="1">Appointment_Dept!$A$1:$B$9</definedName>
    <definedName name="ExternalData_6" localSheetId="3" hidden="1">Appointment_Status!$A$1:$B$5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6" l="1"/>
  <c r="F6" i="16"/>
  <c r="J11" i="16" l="1"/>
  <c r="F11" i="16"/>
  <c r="B11" i="16"/>
  <c r="B6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852141-296C-4D19-9BBC-2882A928F408}" keepAlive="1" name="Query - Admission_Dept" description="Connection to the 'Admission_Dept' query in the workbook." type="5" refreshedVersion="8" background="1" saveData="1">
    <dbPr connection="Provider=Microsoft.Mashup.OleDb.1;Data Source=$Workbook$;Location=Admission_Dept;Extended Properties=&quot;&quot;" command="SELECT * FROM [Admission_Dept]"/>
  </connection>
  <connection id="2" xr16:uid="{AC704AF4-559C-41D9-BB0C-AB1BDEE5A761}" keepAlive="1" name="Query - Appointment_Dept" description="Connection to the 'Appointment_Dept' query in the workbook." type="5" refreshedVersion="8" background="1" saveData="1">
    <dbPr connection="Provider=Microsoft.Mashup.OleDb.1;Data Source=$Workbook$;Location=Appointment_Dept;Extended Properties=&quot;&quot;" command="SELECT * FROM [Appointment_Dept]"/>
  </connection>
  <connection id="3" xr16:uid="{1A85D89F-7257-47E0-850C-D3FFB4BAAD19}" keepAlive="1" name="Query - Appointment_Status" description="Connection to the 'Appointment_Status' query in the workbook." type="5" refreshedVersion="8" background="1" saveData="1">
    <dbPr connection="Provider=Microsoft.Mashup.OleDb.1;Data Source=$Workbook$;Location=Appointment_Status;Extended Properties=&quot;&quot;" command="SELECT * FROM [Appointment_Status]"/>
  </connection>
  <connection id="4" xr16:uid="{A779631C-5F6F-4CB7-BAE0-2A6E7556B459}" keepAlive="1" name="Query - hospital_management_system" description="Connection to the 'hospital_management_system' query in the workbook." type="5" refreshedVersion="8" background="1" saveData="1">
    <dbPr connection="Provider=Microsoft.Mashup.OleDb.1;Data Source=$Workbook$;Location=hospital_management_system;Extended Properties=&quot;&quot;" command="SELECT * FROM [hospital_management_system]"/>
  </connection>
  <connection id="5" xr16:uid="{E0094692-9989-44CC-B333-E1BB2400BF24}" keepAlive="1" name="Query - KPI_Data" description="Connection to the 'KPI_Data' query in the workbook." type="5" refreshedVersion="8" background="1" saveData="1">
    <dbPr connection="Provider=Microsoft.Mashup.OleDb.1;Data Source=$Workbook$;Location=KPI_Data;Extended Properties=&quot;&quot;" command="SELECT * FROM [KPI_Data]"/>
  </connection>
  <connection id="6" xr16:uid="{15EE924C-C561-4B44-8603-8BF291073FEB}" keepAlive="1" name="Query - Monthly_Appointment" description="Connection to the 'Monthly_Appointment' query in the workbook." type="5" refreshedVersion="8" background="1" saveData="1">
    <dbPr connection="Provider=Microsoft.Mashup.OleDb.1;Data Source=$Workbook$;Location=Monthly_Appointment;Extended Properties=&quot;&quot;" command="SELECT * FROM [Monthly_Appointment]"/>
  </connection>
  <connection id="7" xr16:uid="{1BA7781C-BF73-46F7-82A7-9A75492670A2}" keepAlive="1" name="Query - Monthly_Revenue" description="Connection to the 'Monthly_Revenue' query in the workbook." type="5" refreshedVersion="8" background="1" saveData="1">
    <dbPr connection="Provider=Microsoft.Mashup.OleDb.1;Data Source=$Workbook$;Location=Monthly_Revenue;Extended Properties=&quot;&quot;" command="SELECT * FROM [Monthly_Revenue]"/>
  </connection>
  <connection id="8" xr16:uid="{94FE4843-ABED-43C8-AAE0-3570BBB3ECB3}" keepAlive="1" name="Query - Top_Doctors" description="Connection to the 'Top_Doctors' query in the workbook." type="5" refreshedVersion="8" background="1" saveData="1">
    <dbPr connection="Provider=Microsoft.Mashup.OleDb.1;Data Source=$Workbook$;Location=Top_Doctors;Extended Properties=&quot;&quot;" command="SELECT * FROM [Top_Doctors]"/>
  </connection>
</connections>
</file>

<file path=xl/sharedStrings.xml><?xml version="1.0" encoding="utf-8"?>
<sst xmlns="http://schemas.openxmlformats.org/spreadsheetml/2006/main" count="134" uniqueCount="87">
  <si>
    <t>Name</t>
  </si>
  <si>
    <t>Description</t>
  </si>
  <si>
    <t>Kind</t>
  </si>
  <si>
    <t>admissions</t>
  </si>
  <si>
    <t/>
  </si>
  <si>
    <t>Table</t>
  </si>
  <si>
    <t>appointments</t>
  </si>
  <si>
    <t>billings</t>
  </si>
  <si>
    <t>departments</t>
  </si>
  <si>
    <t>doctors</t>
  </si>
  <si>
    <t>patients</t>
  </si>
  <si>
    <t>prescriptions</t>
  </si>
  <si>
    <t>rooms</t>
  </si>
  <si>
    <t>Total_Patients</t>
  </si>
  <si>
    <t>Total_Appointments</t>
  </si>
  <si>
    <t>Completed_Appointments</t>
  </si>
  <si>
    <t>Total_Admissions</t>
  </si>
  <si>
    <t>Currently_Admitted</t>
  </si>
  <si>
    <t>Total_Revenue_Collected</t>
  </si>
  <si>
    <t>Total_Pending_Revenue</t>
  </si>
  <si>
    <t>Avg_Consultation_Fee</t>
  </si>
  <si>
    <t>Avg_Billing_Amount</t>
  </si>
  <si>
    <t>Avg_Stay_Days</t>
  </si>
  <si>
    <t>Department_Name</t>
  </si>
  <si>
    <t>Appointment_Count</t>
  </si>
  <si>
    <t>Pediatrics</t>
  </si>
  <si>
    <t>Orthopedics</t>
  </si>
  <si>
    <t>Neurology</t>
  </si>
  <si>
    <t>Cardiology</t>
  </si>
  <si>
    <t>Dermatology</t>
  </si>
  <si>
    <t>General Medicine</t>
  </si>
  <si>
    <t>Gynecology</t>
  </si>
  <si>
    <t>Emergency</t>
  </si>
  <si>
    <t>Appointment_Status</t>
  </si>
  <si>
    <t>Cancelled</t>
  </si>
  <si>
    <t>No Show</t>
  </si>
  <si>
    <t>Month</t>
  </si>
  <si>
    <t>2024-02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</si>
  <si>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</si>
  <si>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</si>
  <si>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</si>
  <si>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</si>
  <si>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</si>
  <si>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</si>
  <si>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</si>
  <si>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</si>
  <si>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</si>
  <si>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</si>
  <si>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</si>
  <si>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</si>
  <si>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</si>
  <si>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</si>
  <si>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</si>
  <si>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</si>
  <si>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</si>
  <si>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</si>
  <si>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</si>
  <si>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</si>
  <si>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</si>
  <si>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Admission_Count</t>
  </si>
  <si>
    <t>Doctor_ID</t>
  </si>
  <si>
    <t>Doctor_Name</t>
  </si>
  <si>
    <t>Rahul Das</t>
  </si>
  <si>
    <t>Pooja Das</t>
  </si>
  <si>
    <t>Aditya Joshi</t>
  </si>
  <si>
    <t>Manish Reddy</t>
  </si>
  <si>
    <t>Sneha Patel</t>
  </si>
  <si>
    <t>Kavita Nair</t>
  </si>
  <si>
    <t>Priya Sharma</t>
  </si>
  <si>
    <t>Swati Pradhan</t>
  </si>
  <si>
    <t>Neha Singh</t>
  </si>
  <si>
    <t>Sanjay Kumar</t>
  </si>
  <si>
    <t>KPI</t>
  </si>
  <si>
    <t>VALUE</t>
  </si>
  <si>
    <t>Revenue</t>
  </si>
  <si>
    <t>2026-01</t>
  </si>
  <si>
    <t>HOSPITAL MANAGEMENT &amp; PATIENT ANALYTICS</t>
  </si>
  <si>
    <t>PATIENTS</t>
  </si>
  <si>
    <t>APPOINTMENTS</t>
  </si>
  <si>
    <t>REVENUE</t>
  </si>
  <si>
    <t>AVERAGE STAY</t>
  </si>
  <si>
    <t xml:space="preserve"> Hospital Performance Dashboard</t>
  </si>
  <si>
    <t>ADMISSIONS</t>
  </si>
  <si>
    <t>IN PATIENTS</t>
  </si>
  <si>
    <t>completed</t>
  </si>
  <si>
    <t>scheduled</t>
  </si>
  <si>
    <t>Appontment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</si>
</sst>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0.0"/>
    <numFmt numFmtId="165" formatCode="0.0&quot; Days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sz val="24"/>
      <color rgb="FF1F4E79"/>
      <name val="Calibri"/>
      <family val="2"/>
      <scheme val="minor"/>
    </font>
    <font>
      <sz val="22"/>
      <color rgb="FF1F4E7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4" borderId="0" xfId="0" applyFont="1" applyFill="1" applyAlignment="1">
      <alignment horizontal="center"/>
    </xf>
    <xf numFmtId="44" fontId="0" fillId="3" borderId="3" xfId="1" applyFont="1" applyFill="1" applyBorder="1"/>
    <xf numFmtId="164" fontId="0" fillId="3" borderId="2" xfId="0" applyNumberFormat="1" applyFill="1" applyBorder="1"/>
    <xf numFmtId="0" fontId="0" fillId="3" borderId="1" xfId="0" applyFill="1" applyBorder="1"/>
    <xf numFmtId="0" fontId="0" fillId="3" borderId="3" xfId="0" applyFill="1" applyBorder="1"/>
    <xf numFmtId="0" fontId="0" fillId="5" borderId="0" xfId="0" applyFill="1"/>
    <xf numFmtId="0" fontId="6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44" fontId="8" fillId="7" borderId="7" xfId="0" applyNumberFormat="1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165" fontId="7" fillId="7" borderId="7" xfId="0" applyNumberFormat="1" applyFont="1" applyFill="1" applyBorder="1" applyAlignment="1">
      <alignment horizontal="center" vertical="center"/>
    </xf>
    <xf numFmtId="165" fontId="7" fillId="7" borderId="0" xfId="0" applyNumberFormat="1" applyFont="1" applyFill="1" applyAlignment="1">
      <alignment horizontal="center" vertical="center"/>
    </xf>
    <xf numFmtId="165" fontId="7" fillId="7" borderId="8" xfId="0" applyNumberFormat="1" applyFont="1" applyFill="1" applyBorder="1" applyAlignment="1">
      <alignment horizontal="center" vertical="center"/>
    </xf>
    <xf numFmtId="165" fontId="7" fillId="7" borderId="9" xfId="0" applyNumberFormat="1" applyFont="1" applyFill="1" applyBorder="1" applyAlignment="1">
      <alignment horizontal="center" vertical="center"/>
    </xf>
    <xf numFmtId="165" fontId="7" fillId="7" borderId="10" xfId="0" applyNumberFormat="1" applyFont="1" applyFill="1" applyBorder="1" applyAlignment="1">
      <alignment horizontal="center" vertical="center"/>
    </xf>
    <xf numFmtId="165" fontId="7" fillId="7" borderId="11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7" borderId="0" xfId="0" applyFill="1"/>
  </cellXfs>
  <cellStyles count="2">
    <cellStyle name="Currency" xfId="1" builtinId="4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1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rgbClr val="002060"/>
                </a:solidFill>
              </a:rPr>
              <a:t>Appointment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1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Appointment_Dept!$B$1</c:f>
              <c:strCache>
                <c:ptCount val="1"/>
                <c:pt idx="0">
                  <c:v>Appointment_Count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Appointment_Dept!$A$2:$A$9</c:f>
              <c:strCache>
                <c:ptCount val="8"/>
                <c:pt idx="0">
                  <c:v>Pediatrics</c:v>
                </c:pt>
                <c:pt idx="1">
                  <c:v>Orthopedics</c:v>
                </c:pt>
                <c:pt idx="2">
                  <c:v>Neurology</c:v>
                </c:pt>
                <c:pt idx="3">
                  <c:v>Cardiology</c:v>
                </c:pt>
                <c:pt idx="4">
                  <c:v>Dermatology</c:v>
                </c:pt>
                <c:pt idx="5">
                  <c:v>General Medicine</c:v>
                </c:pt>
                <c:pt idx="6">
                  <c:v>Gynecology</c:v>
                </c:pt>
                <c:pt idx="7">
                  <c:v>Emergency</c:v>
                </c:pt>
              </c:strCache>
            </c:strRef>
          </c:cat>
          <c:val>
            <c:numRef>
              <c:f>Appointment_Dept!$B$2:$B$9</c:f>
              <c:numCache>
                <c:formatCode>General</c:formatCode>
                <c:ptCount val="8"/>
                <c:pt idx="0">
                  <c:v>76</c:v>
                </c:pt>
                <c:pt idx="1">
                  <c:v>70</c:v>
                </c:pt>
                <c:pt idx="2">
                  <c:v>57</c:v>
                </c:pt>
                <c:pt idx="3">
                  <c:v>44</c:v>
                </c:pt>
                <c:pt idx="4">
                  <c:v>41</c:v>
                </c:pt>
                <c:pt idx="5">
                  <c:v>38</c:v>
                </c:pt>
                <c:pt idx="6">
                  <c:v>37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F-4816-A271-0727919D40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8479952"/>
        <c:axId val="1598966400"/>
      </c:barChart>
      <c:catAx>
        <c:axId val="128479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66400"/>
        <c:crosses val="autoZero"/>
        <c:auto val="1"/>
        <c:lblAlgn val="ctr"/>
        <c:lblOffset val="100"/>
        <c:noMultiLvlLbl val="0"/>
      </c:catAx>
      <c:valAx>
        <c:axId val="1598966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47995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1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>
                <a:solidFill>
                  <a:srgbClr val="002060"/>
                </a:solidFill>
              </a:rPr>
              <a:t>Appointment Status Distribution</a:t>
            </a:r>
            <a:endParaRPr lang="en-US" sz="11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1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Appointment_Status!$B$1</c:f>
              <c:strCache>
                <c:ptCount val="1"/>
                <c:pt idx="0">
                  <c:v>Appointment_Count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0"/>
              </a:sp3d>
            </c:spPr>
            <c:extLst>
              <c:ext xmlns:c16="http://schemas.microsoft.com/office/drawing/2014/chart" uri="{C3380CC4-5D6E-409C-BE32-E72D297353CC}">
                <c16:uniqueId val="{00000001-8A68-4EF1-976C-56F886472A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68-4EF1-976C-56F886472A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A68-4EF1-976C-56F886472A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A68-4EF1-976C-56F886472A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Appointment_Status!$A$2:$A$5</c:f>
              <c:strCache>
                <c:ptCount val="4"/>
                <c:pt idx="0">
                  <c:v>completed</c:v>
                </c:pt>
                <c:pt idx="1">
                  <c:v>scheduled</c:v>
                </c:pt>
                <c:pt idx="2">
                  <c:v>Cancelled</c:v>
                </c:pt>
                <c:pt idx="3">
                  <c:v>No Show</c:v>
                </c:pt>
              </c:strCache>
            </c:strRef>
          </c:cat>
          <c:val>
            <c:numRef>
              <c:f>Appointment_Status!$B$2:$B$5</c:f>
              <c:numCache>
                <c:formatCode>General</c:formatCode>
                <c:ptCount val="4"/>
                <c:pt idx="0">
                  <c:v>221</c:v>
                </c:pt>
                <c:pt idx="1">
                  <c:v>111</c:v>
                </c:pt>
                <c:pt idx="2">
                  <c:v>43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B-41E8-8938-CFF36CE819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>
                <a:solidFill>
                  <a:srgbClr val="002060"/>
                </a:solidFill>
              </a:rPr>
              <a:t>Monthly Appointments Trend</a:t>
            </a:r>
            <a:endParaRPr lang="en-IN" sz="11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Monthly_Appointments!$A$2:$A$23</c:f>
              <c:strCache>
                <c:ptCount val="22"/>
                <c:pt idx="0">
                  <c:v>2024-02</c:v>
                </c:pt>
                <c:pt idx="1">
                  <c:v>2024-04</c:v>
                </c:pt>
                <c:pt idx="2">
                  <c:v>2024-05</c:v>
                </c:pt>
                <c:pt idx="3">
                  <c:v>2024-06</c:v>
                </c:pt>
                <c:pt idx="4">
                  <c:v>2024-07</c:v>
                </c:pt>
                <c:pt idx="5">
                  <c:v>2024-08</c:v>
                </c:pt>
                <c:pt idx="6">
                  <c:v>2024-09</c:v>
                </c:pt>
                <c:pt idx="7">
                  <c:v>2024-10</c:v>
                </c:pt>
                <c:pt idx="8">
                  <c:v>2024-11</c:v>
                </c:pt>
                <c:pt idx="9">
                  <c:v>2024-12</c:v>
                </c:pt>
                <c:pt idx="10">
                  <c:v>2025-01</c:v>
                </c:pt>
                <c:pt idx="11">
                  <c:v>2025-02</c:v>
                </c:pt>
                <c:pt idx="12">
                  <c:v>2025-03</c:v>
                </c:pt>
                <c:pt idx="13">
                  <c:v>2025-04</c:v>
                </c:pt>
                <c:pt idx="14">
                  <c:v>2025-05</c:v>
                </c:pt>
                <c:pt idx="15">
                  <c:v>2025-06</c:v>
                </c:pt>
                <c:pt idx="16">
                  <c:v>2025-07</c:v>
                </c:pt>
                <c:pt idx="17">
                  <c:v>2025-08</c:v>
                </c:pt>
                <c:pt idx="18">
                  <c:v>2025-09</c:v>
                </c:pt>
                <c:pt idx="19">
                  <c:v>2025-10</c:v>
                </c:pt>
                <c:pt idx="20">
                  <c:v>2025-11</c:v>
                </c:pt>
                <c:pt idx="21">
                  <c:v>2025-12</c:v>
                </c:pt>
              </c:strCache>
            </c:strRef>
          </c:cat>
          <c:val>
            <c:numRef>
              <c:f>Monthly_Appointments!$B$2:$B$23</c:f>
              <c:numCache>
                <c:formatCode>General</c:formatCode>
                <c:ptCount val="22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9</c:v>
                </c:pt>
                <c:pt idx="6">
                  <c:v>8</c:v>
                </c:pt>
                <c:pt idx="7">
                  <c:v>22</c:v>
                </c:pt>
                <c:pt idx="8">
                  <c:v>13</c:v>
                </c:pt>
                <c:pt idx="9">
                  <c:v>20</c:v>
                </c:pt>
                <c:pt idx="10">
                  <c:v>9</c:v>
                </c:pt>
                <c:pt idx="11">
                  <c:v>18</c:v>
                </c:pt>
                <c:pt idx="12">
                  <c:v>21</c:v>
                </c:pt>
                <c:pt idx="13">
                  <c:v>22</c:v>
                </c:pt>
                <c:pt idx="14">
                  <c:v>21</c:v>
                </c:pt>
                <c:pt idx="15">
                  <c:v>20</c:v>
                </c:pt>
                <c:pt idx="16">
                  <c:v>24</c:v>
                </c:pt>
                <c:pt idx="17">
                  <c:v>30</c:v>
                </c:pt>
                <c:pt idx="18">
                  <c:v>30</c:v>
                </c:pt>
                <c:pt idx="19">
                  <c:v>42</c:v>
                </c:pt>
                <c:pt idx="20">
                  <c:v>34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5F-4FBD-BC70-B096F1F8D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479952"/>
        <c:axId val="1598966400"/>
      </c:lineChart>
      <c:catAx>
        <c:axId val="128479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8966400"/>
        <c:crosses val="autoZero"/>
        <c:auto val="1"/>
        <c:lblAlgn val="ctr"/>
        <c:lblOffset val="100"/>
        <c:noMultiLvlLbl val="0"/>
      </c:catAx>
      <c:valAx>
        <c:axId val="15989664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7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rgbClr val="002060"/>
                </a:solidFill>
              </a:rPr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Monthly_Revenue!$B$1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BF-43AE-B095-ED0291EA12A2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BF-43AE-B095-ED0291EA12A2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BF-43AE-B095-ED0291EA12A2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BBF-43AE-B095-ED0291EA12A2}"/>
              </c:ext>
            </c:extLst>
          </c:dPt>
          <c:cat>
            <c:strRef>
              <c:f>Monthly_Revenue!$A$2:$A$23</c:f>
              <c:strCache>
                <c:ptCount val="22"/>
                <c:pt idx="0">
                  <c:v>2024-04</c:v>
                </c:pt>
                <c:pt idx="1">
                  <c:v>2024-05</c:v>
                </c:pt>
                <c:pt idx="2">
                  <c:v>2024-06</c:v>
                </c:pt>
                <c:pt idx="3">
                  <c:v>2024-07</c:v>
                </c:pt>
                <c:pt idx="4">
                  <c:v>2024-08</c:v>
                </c:pt>
                <c:pt idx="5">
                  <c:v>2024-09</c:v>
                </c:pt>
                <c:pt idx="6">
                  <c:v>2024-10</c:v>
                </c:pt>
                <c:pt idx="7">
                  <c:v>2024-11</c:v>
                </c:pt>
                <c:pt idx="8">
                  <c:v>2024-12</c:v>
                </c:pt>
                <c:pt idx="9">
                  <c:v>2025-01</c:v>
                </c:pt>
                <c:pt idx="10">
                  <c:v>2025-02</c:v>
                </c:pt>
                <c:pt idx="11">
                  <c:v>2025-03</c:v>
                </c:pt>
                <c:pt idx="12">
                  <c:v>2025-04</c:v>
                </c:pt>
                <c:pt idx="13">
                  <c:v>2025-05</c:v>
                </c:pt>
                <c:pt idx="14">
                  <c:v>2025-06</c:v>
                </c:pt>
                <c:pt idx="15">
                  <c:v>2025-07</c:v>
                </c:pt>
                <c:pt idx="16">
                  <c:v>2025-08</c:v>
                </c:pt>
                <c:pt idx="17">
                  <c:v>2025-09</c:v>
                </c:pt>
                <c:pt idx="18">
                  <c:v>2025-10</c:v>
                </c:pt>
                <c:pt idx="19">
                  <c:v>2025-11</c:v>
                </c:pt>
                <c:pt idx="20">
                  <c:v>2025-12</c:v>
                </c:pt>
                <c:pt idx="21">
                  <c:v>2026-01</c:v>
                </c:pt>
              </c:strCache>
            </c:strRef>
          </c:cat>
          <c:val>
            <c:numRef>
              <c:f>Monthly_Revenue!$B$2:$B$23</c:f>
              <c:numCache>
                <c:formatCode>General</c:formatCode>
                <c:ptCount val="22"/>
                <c:pt idx="0">
                  <c:v>1400</c:v>
                </c:pt>
                <c:pt idx="1">
                  <c:v>1900</c:v>
                </c:pt>
                <c:pt idx="2">
                  <c:v>1100</c:v>
                </c:pt>
                <c:pt idx="3">
                  <c:v>71300</c:v>
                </c:pt>
                <c:pt idx="4">
                  <c:v>900</c:v>
                </c:pt>
                <c:pt idx="5">
                  <c:v>13500</c:v>
                </c:pt>
                <c:pt idx="6">
                  <c:v>39400</c:v>
                </c:pt>
                <c:pt idx="7">
                  <c:v>12000</c:v>
                </c:pt>
                <c:pt idx="8">
                  <c:v>5400</c:v>
                </c:pt>
                <c:pt idx="9">
                  <c:v>3800</c:v>
                </c:pt>
                <c:pt idx="10">
                  <c:v>4500</c:v>
                </c:pt>
                <c:pt idx="11">
                  <c:v>5100</c:v>
                </c:pt>
                <c:pt idx="12">
                  <c:v>24300</c:v>
                </c:pt>
                <c:pt idx="13">
                  <c:v>28800</c:v>
                </c:pt>
                <c:pt idx="14">
                  <c:v>2400</c:v>
                </c:pt>
                <c:pt idx="15">
                  <c:v>33400</c:v>
                </c:pt>
                <c:pt idx="16">
                  <c:v>71400</c:v>
                </c:pt>
                <c:pt idx="17">
                  <c:v>95800</c:v>
                </c:pt>
                <c:pt idx="18">
                  <c:v>89800</c:v>
                </c:pt>
                <c:pt idx="19">
                  <c:v>10900</c:v>
                </c:pt>
                <c:pt idx="20">
                  <c:v>16600</c:v>
                </c:pt>
                <c:pt idx="21">
                  <c:v>60500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BF-43AE-B095-ED0291EA1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581104"/>
        <c:axId val="1598959680"/>
      </c:lineChart>
      <c:catAx>
        <c:axId val="12858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59680"/>
        <c:crosses val="autoZero"/>
        <c:auto val="1"/>
        <c:lblAlgn val="ctr"/>
        <c:lblOffset val="100"/>
        <c:noMultiLvlLbl val="0"/>
      </c:catAx>
      <c:valAx>
        <c:axId val="1598959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8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>
                <a:solidFill>
                  <a:srgbClr val="002060"/>
                </a:solidFill>
              </a:rPr>
              <a:t>Admissions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Admission_Dept!$A$2</c:f>
              <c:strCache>
                <c:ptCount val="1"/>
                <c:pt idx="0">
                  <c:v>Neurology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3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3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3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Admission_Dept!$B$1</c:f>
              <c:strCache>
                <c:ptCount val="1"/>
                <c:pt idx="0">
                  <c:v>Admission_Count</c:v>
                </c:pt>
              </c:strCache>
            </c:strRef>
          </c:cat>
          <c:val>
            <c:numRef>
              <c:f>Admission_Dept!$B$2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B-453F-B0F9-D824FB381CFD}"/>
            </c:ext>
          </c:extLst>
        </c:ser>
        <c:ser>
          <c:idx val="1"/>
          <c:order val="1"/>
          <c:tx>
            <c:strRef>
              <c:f>Admission_Dept!$A$3</c:f>
              <c:strCache>
                <c:ptCount val="1"/>
                <c:pt idx="0">
                  <c:v>Orthopedics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42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42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42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Admission_Dept!$B$1</c:f>
              <c:strCache>
                <c:ptCount val="1"/>
                <c:pt idx="0">
                  <c:v>Admission_Count</c:v>
                </c:pt>
              </c:strCache>
            </c:strRef>
          </c:cat>
          <c:val>
            <c:numRef>
              <c:f>Admission_Dept!$B$3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BB-453F-B0F9-D824FB381CFD}"/>
            </c:ext>
          </c:extLst>
        </c:ser>
        <c:ser>
          <c:idx val="2"/>
          <c:order val="2"/>
          <c:tx>
            <c:strRef>
              <c:f>Admission_Dept!$A$4</c:f>
              <c:strCache>
                <c:ptCount val="1"/>
                <c:pt idx="0">
                  <c:v>Pediatrics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49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49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49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Admission_Dept!$B$1</c:f>
              <c:strCache>
                <c:ptCount val="1"/>
                <c:pt idx="0">
                  <c:v>Admission_Count</c:v>
                </c:pt>
              </c:strCache>
            </c:strRef>
          </c:cat>
          <c:val>
            <c:numRef>
              <c:f>Admission_Dept!$B$4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BB-453F-B0F9-D824FB381CFD}"/>
            </c:ext>
          </c:extLst>
        </c:ser>
        <c:ser>
          <c:idx val="3"/>
          <c:order val="3"/>
          <c:tx>
            <c:strRef>
              <c:f>Admission_Dept!$A$5</c:f>
              <c:strCache>
                <c:ptCount val="1"/>
                <c:pt idx="0">
                  <c:v>Cardiology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5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55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5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Admission_Dept!$B$1</c:f>
              <c:strCache>
                <c:ptCount val="1"/>
                <c:pt idx="0">
                  <c:v>Admission_Count</c:v>
                </c:pt>
              </c:strCache>
            </c:strRef>
          </c:cat>
          <c:val>
            <c:numRef>
              <c:f>Admission_Dept!$B$5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BB-453F-B0F9-D824FB381CFD}"/>
            </c:ext>
          </c:extLst>
        </c:ser>
        <c:ser>
          <c:idx val="4"/>
          <c:order val="4"/>
          <c:tx>
            <c:strRef>
              <c:f>Admission_Dept!$A$6</c:f>
              <c:strCache>
                <c:ptCount val="1"/>
                <c:pt idx="0">
                  <c:v>Emergency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61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1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1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Admission_Dept!$B$1</c:f>
              <c:strCache>
                <c:ptCount val="1"/>
                <c:pt idx="0">
                  <c:v>Admission_Count</c:v>
                </c:pt>
              </c:strCache>
            </c:strRef>
          </c:cat>
          <c:val>
            <c:numRef>
              <c:f>Admission_Dept!$B$6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BB-453F-B0F9-D824FB381CFD}"/>
            </c:ext>
          </c:extLst>
        </c:ser>
        <c:ser>
          <c:idx val="5"/>
          <c:order val="5"/>
          <c:tx>
            <c:strRef>
              <c:f>Admission_Dept!$A$7</c:f>
              <c:strCache>
                <c:ptCount val="1"/>
                <c:pt idx="0">
                  <c:v>Dermatology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68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68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6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Admission_Dept!$B$1</c:f>
              <c:strCache>
                <c:ptCount val="1"/>
                <c:pt idx="0">
                  <c:v>Admission_Count</c:v>
                </c:pt>
              </c:strCache>
            </c:strRef>
          </c:cat>
          <c:val>
            <c:numRef>
              <c:f>Admission_Dept!$B$7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BB-453F-B0F9-D824FB381CFD}"/>
            </c:ext>
          </c:extLst>
        </c:ser>
        <c:ser>
          <c:idx val="6"/>
          <c:order val="6"/>
          <c:tx>
            <c:strRef>
              <c:f>Admission_Dept!$A$8</c:f>
              <c:strCache>
                <c:ptCount val="1"/>
                <c:pt idx="0">
                  <c:v>General Medicine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4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4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4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Admission_Dept!$B$1</c:f>
              <c:strCache>
                <c:ptCount val="1"/>
                <c:pt idx="0">
                  <c:v>Admission_Count</c:v>
                </c:pt>
              </c:strCache>
            </c:strRef>
          </c:cat>
          <c:val>
            <c:numRef>
              <c:f>Admission_Dept!$B$8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BB-453F-B0F9-D824FB381CFD}"/>
            </c:ext>
          </c:extLst>
        </c:ser>
        <c:ser>
          <c:idx val="7"/>
          <c:order val="7"/>
          <c:tx>
            <c:strRef>
              <c:f>Admission_Dept!$A$9</c:f>
              <c:strCache>
                <c:ptCount val="1"/>
                <c:pt idx="0">
                  <c:v>Gynecology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Admission_Dept!$B$1</c:f>
              <c:strCache>
                <c:ptCount val="1"/>
                <c:pt idx="0">
                  <c:v>Admission_Count</c:v>
                </c:pt>
              </c:strCache>
            </c:strRef>
          </c:cat>
          <c:val>
            <c:numRef>
              <c:f>Admission_Dept!$B$9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BB-453F-B0F9-D824FB381C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2"/>
        <c:axId val="128479952"/>
        <c:axId val="1598966400"/>
        <c:extLst>
          <c:ext xmlns:c15="http://schemas.microsoft.com/office/drawing/2012/chart" uri="{02D57815-91ED-43cb-92C2-25804820EDAC}"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Admission_Dept!$A$10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87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hade val="87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shade val="87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Admission_Dept!$B$1</c15:sqref>
                        </c15:formulaRef>
                      </c:ext>
                    </c:extLst>
                    <c:strCache>
                      <c:ptCount val="1"/>
                      <c:pt idx="0">
                        <c:v>Admission_Count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Admission_Dept!$B$10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DEBB-453F-B0F9-D824FB381CFD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Admission_Dept!$A$11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93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hade val="93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shade val="93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Admission_Dept!$B$1</c15:sqref>
                        </c15:formulaRef>
                      </c:ext>
                    </c:extLst>
                    <c:strCache>
                      <c:ptCount val="1"/>
                      <c:pt idx="0">
                        <c:v>Admission_Count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Admission_Dept!$B$11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EBB-453F-B0F9-D824FB381CFD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Admission_Dept!$A$12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Admission_Dept!$B$1</c15:sqref>
                        </c15:formulaRef>
                      </c:ext>
                    </c:extLst>
                    <c:strCache>
                      <c:ptCount val="1"/>
                      <c:pt idx="0">
                        <c:v>Admission_Count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Admission_Dept!$B$12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EBB-453F-B0F9-D824FB381CFD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Admission_Dept!$A$13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tint val="94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tint val="94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tint val="94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Admission_Dept!$B$1</c15:sqref>
                        </c15:formulaRef>
                      </c:ext>
                    </c:extLst>
                    <c:strCache>
                      <c:ptCount val="1"/>
                      <c:pt idx="0">
                        <c:v>Admission_Count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Admission_Dept!$B$13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EBB-453F-B0F9-D824FB381CFD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Admission_Dept!$A$14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tint val="88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tint val="88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tint val="88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Admission_Dept!$B$1</c15:sqref>
                        </c15:formulaRef>
                      </c:ext>
                    </c:extLst>
                    <c:strCache>
                      <c:ptCount val="1"/>
                      <c:pt idx="0">
                        <c:v>Admission_Count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Admission_Dept!$B$14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EBB-453F-B0F9-D824FB381CFD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Admission_Dept!$A$15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tint val="81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tint val="81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tint val="81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Admission_Dept!$B$1</c15:sqref>
                        </c15:formulaRef>
                      </c:ext>
                    </c:extLst>
                    <c:strCache>
                      <c:ptCount val="1"/>
                      <c:pt idx="0">
                        <c:v>Admission_Count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Admission_Dept!$B$15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EBB-453F-B0F9-D824FB381CFD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Admission_Dept!$A$16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tint val="75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tint val="75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tint val="75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Admission_Dept!$B$1</c15:sqref>
                        </c15:formulaRef>
                      </c:ext>
                    </c:extLst>
                    <c:strCache>
                      <c:ptCount val="1"/>
                      <c:pt idx="0">
                        <c:v>Admission_Count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Admission_Dept!$B$16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EBB-453F-B0F9-D824FB381CFD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Admission_Dept!$A$17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tint val="69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tint val="69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tint val="69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Admission_Dept!$B$1</c15:sqref>
                        </c15:formulaRef>
                      </c:ext>
                    </c:extLst>
                    <c:strCache>
                      <c:ptCount val="1"/>
                      <c:pt idx="0">
                        <c:v>Admission_Count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Admission_Dept!$B$17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EBB-453F-B0F9-D824FB381CFD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Admission_Dept!$A$18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tint val="62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tint val="62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tint val="62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Admission_Dept!$B$1</c15:sqref>
                        </c15:formulaRef>
                      </c:ext>
                    </c:extLst>
                    <c:strCache>
                      <c:ptCount val="1"/>
                      <c:pt idx="0">
                        <c:v>Admission_Count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Admission_Dept!$B$18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EBB-453F-B0F9-D824FB381CFD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Admission_Dept!$A$19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tint val="56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tint val="56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tint val="56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Admission_Dept!$B$1</c15:sqref>
                        </c15:formulaRef>
                      </c:ext>
                    </c:extLst>
                    <c:strCache>
                      <c:ptCount val="1"/>
                      <c:pt idx="0">
                        <c:v>Admission_Count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Admission_Dept!$B$19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EBB-453F-B0F9-D824FB381CFD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Admission_Dept!$A$20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tint val="5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tint val="5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tint val="5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Admission_Dept!$B$1</c15:sqref>
                        </c15:formulaRef>
                      </c:ext>
                    </c:extLst>
                    <c:strCache>
                      <c:ptCount val="1"/>
                      <c:pt idx="0">
                        <c:v>Admission_Count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Admission_Dept!$B$20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DEBB-453F-B0F9-D824FB381CFD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Admission_Dept!$A$21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tint val="43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tint val="43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tint val="43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Admission_Dept!$B$1</c15:sqref>
                        </c15:formulaRef>
                      </c:ext>
                    </c:extLst>
                    <c:strCache>
                      <c:ptCount val="1"/>
                      <c:pt idx="0">
                        <c:v>Admission_Count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Admission_Dept!$B$21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DEBB-453F-B0F9-D824FB381CFD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Admission_Dept!$A$22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tint val="37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tint val="37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tint val="37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Admission_Dept!$B$1</c15:sqref>
                        </c15:formulaRef>
                      </c:ext>
                    </c:extLst>
                    <c:strCache>
                      <c:ptCount val="1"/>
                      <c:pt idx="0">
                        <c:v>Admission_Count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Admission_Dept!$B$22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DEBB-453F-B0F9-D824FB381CFD}"/>
                  </c:ext>
                </c:extLst>
              </c15:ser>
            </c15:filteredBarSeries>
          </c:ext>
        </c:extLst>
      </c:barChart>
      <c:catAx>
        <c:axId val="128479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8966400"/>
        <c:crosses val="autoZero"/>
        <c:auto val="1"/>
        <c:lblAlgn val="ctr"/>
        <c:lblOffset val="100"/>
        <c:noMultiLvlLbl val="0"/>
      </c:catAx>
      <c:valAx>
        <c:axId val="15989664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7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rgbClr val="002060"/>
                </a:solidFill>
              </a:rPr>
              <a:t>Top Doctors By Appointments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Top_Doctors!$C$1</c:f>
              <c:strCache>
                <c:ptCount val="1"/>
                <c:pt idx="0">
                  <c:v>Appointment_Count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D9-48D5-BE2D-7B66C6BCD17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D9-48D5-BE2D-7B66C6BCD17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D9-48D5-BE2D-7B66C6BCD1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Top_Doctors!$B$2:$B$11</c:f>
              <c:strCache>
                <c:ptCount val="10"/>
                <c:pt idx="0">
                  <c:v>Rahul Das</c:v>
                </c:pt>
                <c:pt idx="1">
                  <c:v>Pooja Das</c:v>
                </c:pt>
                <c:pt idx="2">
                  <c:v>Aditya Joshi</c:v>
                </c:pt>
                <c:pt idx="3">
                  <c:v>Manish Reddy</c:v>
                </c:pt>
                <c:pt idx="4">
                  <c:v>Sneha Patel</c:v>
                </c:pt>
                <c:pt idx="5">
                  <c:v>Kavita Nair</c:v>
                </c:pt>
                <c:pt idx="6">
                  <c:v>Priya Sharma</c:v>
                </c:pt>
                <c:pt idx="7">
                  <c:v>Swati Pradhan</c:v>
                </c:pt>
                <c:pt idx="8">
                  <c:v>Neha Singh</c:v>
                </c:pt>
                <c:pt idx="9">
                  <c:v>Sanjay Kumar</c:v>
                </c:pt>
              </c:strCache>
            </c:strRef>
          </c:cat>
          <c:val>
            <c:numRef>
              <c:f>Top_Doctors!$C$2:$C$11</c:f>
              <c:numCache>
                <c:formatCode>General</c:formatCode>
                <c:ptCount val="10"/>
                <c:pt idx="0">
                  <c:v>33</c:v>
                </c:pt>
                <c:pt idx="1">
                  <c:v>33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D9-48D5-BE2D-7B66C6BCD1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8581104"/>
        <c:axId val="1598959680"/>
      </c:barChart>
      <c:catAx>
        <c:axId val="128581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59680"/>
        <c:crosses val="autoZero"/>
        <c:auto val="1"/>
        <c:lblAlgn val="ctr"/>
        <c:lblOffset val="100"/>
        <c:noMultiLvlLbl val="0"/>
      </c:catAx>
      <c:valAx>
        <c:axId val="159895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8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13" Type="http://schemas.openxmlformats.org/officeDocument/2006/relationships/image" Target="../media/image7.png"/><Relationship Id="rId18" Type="http://schemas.openxmlformats.org/officeDocument/2006/relationships/image" Target="../media/image12.svg"/><Relationship Id="rId3" Type="http://schemas.openxmlformats.org/officeDocument/2006/relationships/chart" Target="../charts/chart3.xml"/><Relationship Id="rId21" Type="http://schemas.openxmlformats.org/officeDocument/2006/relationships/image" Target="../media/image15.png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17" Type="http://schemas.openxmlformats.org/officeDocument/2006/relationships/image" Target="../media/image11.png"/><Relationship Id="rId2" Type="http://schemas.openxmlformats.org/officeDocument/2006/relationships/chart" Target="../charts/chart2.xml"/><Relationship Id="rId16" Type="http://schemas.openxmlformats.org/officeDocument/2006/relationships/image" Target="../media/image10.svg"/><Relationship Id="rId20" Type="http://schemas.openxmlformats.org/officeDocument/2006/relationships/image" Target="../media/image14.sv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5" Type="http://schemas.openxmlformats.org/officeDocument/2006/relationships/image" Target="../media/image9.png"/><Relationship Id="rId10" Type="http://schemas.openxmlformats.org/officeDocument/2006/relationships/image" Target="../media/image4.svg"/><Relationship Id="rId19" Type="http://schemas.openxmlformats.org/officeDocument/2006/relationships/image" Target="../media/image13.pn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svg"/><Relationship Id="rId22" Type="http://schemas.openxmlformats.org/officeDocument/2006/relationships/image" Target="../media/image1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101232</xdr:colOff>
      <xdr:row>14</xdr:row>
      <xdr:rowOff>129518</xdr:rowOff>
    </xdr:from>
    <xdr:to>
      <xdr:col>7</xdr:col>
      <xdr:colOff>385702</xdr:colOff>
      <xdr:row>27</xdr:row>
      <xdr:rowOff>131162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D29E44-4A22-0D02-7797-FB36C69B29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196673</xdr:colOff>
      <xdr:row>14</xdr:row>
      <xdr:rowOff>117954</xdr:rowOff>
    </xdr:from>
    <xdr:to>
      <xdr:col>12</xdr:col>
      <xdr:colOff>530273</xdr:colOff>
      <xdr:row>27</xdr:row>
      <xdr:rowOff>128059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BE1F15-8267-E5AB-07D7-0ADDBA878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89971</xdr:colOff>
      <xdr:row>28</xdr:row>
      <xdr:rowOff>121600</xdr:rowOff>
    </xdr:from>
    <xdr:to>
      <xdr:col>7</xdr:col>
      <xdr:colOff>374441</xdr:colOff>
      <xdr:row>41</xdr:row>
      <xdr:rowOff>125466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9746C8-D05D-42A5-BB4A-978BD7467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192863</xdr:colOff>
      <xdr:row>28</xdr:row>
      <xdr:rowOff>114462</xdr:rowOff>
    </xdr:from>
    <xdr:to>
      <xdr:col>12</xdr:col>
      <xdr:colOff>526463</xdr:colOff>
      <xdr:row>41</xdr:row>
      <xdr:rowOff>127506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CD97E6-BEA1-4275-AB0A-B73104CA4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89971</xdr:colOff>
      <xdr:row>42</xdr:row>
      <xdr:rowOff>126128</xdr:rowOff>
    </xdr:from>
    <xdr:to>
      <xdr:col>7</xdr:col>
      <xdr:colOff>374441</xdr:colOff>
      <xdr:row>55</xdr:row>
      <xdr:rowOff>129994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E59CCC-AD7E-4A11-B7CA-8D5B50745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192863</xdr:colOff>
      <xdr:row>42</xdr:row>
      <xdr:rowOff>115818</xdr:rowOff>
    </xdr:from>
    <xdr:to>
      <xdr:col>12</xdr:col>
      <xdr:colOff>526463</xdr:colOff>
      <xdr:row>55</xdr:row>
      <xdr:rowOff>131539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6CBCAF6-B13E-44B4-94EB-7A99CE93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364782</xdr:colOff>
      <xdr:row>1</xdr:row>
      <xdr:rowOff>360000</xdr:rowOff>
    </xdr:to>
    <xdr:pic>
      <xdr:nvPicPr>
        <xdr:cNvPr id="8" name="Graphic 7" descr="Stethoscope with solid fill">
          <a:extLst>
            <a:ext uri="{FF2B5EF4-FFF2-40B4-BE49-F238E27FC236}">
              <a16:creationId xmlns:a16="http://schemas.microsoft.com/office/drawing/2014/main" id="{F28AD800-867F-598C-DF8D-D819AE463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695966" y="183931"/>
          <a:ext cx="364782" cy="360000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221263</xdr:colOff>
      <xdr:row>0</xdr:row>
      <xdr:rowOff>152105</xdr:rowOff>
    </xdr:from>
    <xdr:to>
      <xdr:col>3</xdr:col>
      <xdr:colOff>31324</xdr:colOff>
      <xdr:row>2</xdr:row>
      <xdr:rowOff>32312</xdr:rowOff>
    </xdr:to>
    <xdr:pic>
      <xdr:nvPicPr>
        <xdr:cNvPr id="11" name="Graphic 10" descr="Medical with solid fill">
          <a:extLst>
            <a:ext uri="{FF2B5EF4-FFF2-40B4-BE49-F238E27FC236}">
              <a16:creationId xmlns:a16="http://schemas.microsoft.com/office/drawing/2014/main" id="{1CE6E0B4-B611-C2A9-8522-C0316DA3E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438711" y="152105"/>
          <a:ext cx="418785" cy="432000"/>
        </a:xfrm>
        <a:prstGeom prst="rect">
          <a:avLst/>
        </a:prstGeom>
      </xdr:spPr>
    </xdr:pic>
    <xdr:clientData/>
  </xdr:twoCellAnchor>
  <xdr:twoCellAnchor editAs="oneCell">
    <xdr:from>
      <xdr:col>9</xdr:col>
      <xdr:colOff>163798</xdr:colOff>
      <xdr:row>8</xdr:row>
      <xdr:rowOff>179295</xdr:rowOff>
    </xdr:from>
    <xdr:to>
      <xdr:col>9</xdr:col>
      <xdr:colOff>383689</xdr:colOff>
      <xdr:row>10</xdr:row>
      <xdr:rowOff>29236</xdr:rowOff>
    </xdr:to>
    <xdr:pic>
      <xdr:nvPicPr>
        <xdr:cNvPr id="19" name="Graphic 18" descr="Clock with solid fill">
          <a:extLst>
            <a:ext uri="{FF2B5EF4-FFF2-40B4-BE49-F238E27FC236}">
              <a16:creationId xmlns:a16="http://schemas.microsoft.com/office/drawing/2014/main" id="{2DB5591D-8B57-ED9A-6523-99AD282D3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5691141" y="1919385"/>
          <a:ext cx="219891" cy="213881"/>
        </a:xfrm>
        <a:prstGeom prst="rect">
          <a:avLst/>
        </a:prstGeom>
      </xdr:spPr>
    </xdr:pic>
    <xdr:clientData/>
  </xdr:twoCellAnchor>
  <xdr:twoCellAnchor editAs="oneCell">
    <xdr:from>
      <xdr:col>5</xdr:col>
      <xdr:colOff>211716</xdr:colOff>
      <xdr:row>8</xdr:row>
      <xdr:rowOff>162603</xdr:rowOff>
    </xdr:from>
    <xdr:to>
      <xdr:col>5</xdr:col>
      <xdr:colOff>463716</xdr:colOff>
      <xdr:row>10</xdr:row>
      <xdr:rowOff>43398</xdr:rowOff>
    </xdr:to>
    <xdr:pic>
      <xdr:nvPicPr>
        <xdr:cNvPr id="21" name="Graphic 20" descr="Coins with solid fill">
          <a:extLst>
            <a:ext uri="{FF2B5EF4-FFF2-40B4-BE49-F238E27FC236}">
              <a16:creationId xmlns:a16="http://schemas.microsoft.com/office/drawing/2014/main" id="{C15940E3-F43E-054C-DC0C-304CB246C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282462" y="1902693"/>
          <a:ext cx="252000" cy="244735"/>
        </a:xfrm>
        <a:prstGeom prst="rect">
          <a:avLst/>
        </a:prstGeom>
      </xdr:spPr>
    </xdr:pic>
    <xdr:clientData/>
  </xdr:twoCellAnchor>
  <xdr:twoCellAnchor editAs="oneCell">
    <xdr:from>
      <xdr:col>1</xdr:col>
      <xdr:colOff>129388</xdr:colOff>
      <xdr:row>8</xdr:row>
      <xdr:rowOff>127112</xdr:rowOff>
    </xdr:from>
    <xdr:to>
      <xdr:col>1</xdr:col>
      <xdr:colOff>453388</xdr:colOff>
      <xdr:row>10</xdr:row>
      <xdr:rowOff>78435</xdr:rowOff>
    </xdr:to>
    <xdr:pic>
      <xdr:nvPicPr>
        <xdr:cNvPr id="23" name="Graphic 22" descr="Sleep with solid fill">
          <a:extLst>
            <a:ext uri="{FF2B5EF4-FFF2-40B4-BE49-F238E27FC236}">
              <a16:creationId xmlns:a16="http://schemas.microsoft.com/office/drawing/2014/main" id="{8D3027DC-4162-376F-A80B-616F4C9DC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743537" y="1867202"/>
          <a:ext cx="324000" cy="315263"/>
        </a:xfrm>
        <a:prstGeom prst="rect">
          <a:avLst/>
        </a:prstGeom>
      </xdr:spPr>
    </xdr:pic>
    <xdr:clientData/>
  </xdr:twoCellAnchor>
  <xdr:twoCellAnchor editAs="oneCell">
    <xdr:from>
      <xdr:col>9</xdr:col>
      <xdr:colOff>185572</xdr:colOff>
      <xdr:row>4</xdr:row>
      <xdr:rowOff>0</xdr:rowOff>
    </xdr:from>
    <xdr:to>
      <xdr:col>9</xdr:col>
      <xdr:colOff>404210</xdr:colOff>
      <xdr:row>5</xdr:row>
      <xdr:rowOff>25500</xdr:rowOff>
    </xdr:to>
    <xdr:pic>
      <xdr:nvPicPr>
        <xdr:cNvPr id="25" name="Graphic 24" descr="City with solid fill">
          <a:extLst>
            <a:ext uri="{FF2B5EF4-FFF2-40B4-BE49-F238E27FC236}">
              <a16:creationId xmlns:a16="http://schemas.microsoft.com/office/drawing/2014/main" id="{571FA2F6-A806-237E-679B-4BE4E3945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5712915" y="1000836"/>
          <a:ext cx="218638" cy="218843"/>
        </a:xfrm>
        <a:prstGeom prst="rect">
          <a:avLst/>
        </a:prstGeom>
      </xdr:spPr>
    </xdr:pic>
    <xdr:clientData/>
  </xdr:twoCellAnchor>
  <xdr:twoCellAnchor editAs="oneCell">
    <xdr:from>
      <xdr:col>5</xdr:col>
      <xdr:colOff>72914</xdr:colOff>
      <xdr:row>4</xdr:row>
      <xdr:rowOff>148</xdr:rowOff>
    </xdr:from>
    <xdr:to>
      <xdr:col>5</xdr:col>
      <xdr:colOff>291552</xdr:colOff>
      <xdr:row>5</xdr:row>
      <xdr:rowOff>21764</xdr:rowOff>
    </xdr:to>
    <xdr:pic>
      <xdr:nvPicPr>
        <xdr:cNvPr id="27" name="Graphic 26" descr="Daily calendar with solid fill">
          <a:extLst>
            <a:ext uri="{FF2B5EF4-FFF2-40B4-BE49-F238E27FC236}">
              <a16:creationId xmlns:a16="http://schemas.microsoft.com/office/drawing/2014/main" id="{0A26AF17-13FE-3A9A-1524-AA01269376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rcRect l="-13668" r="13668"/>
        <a:stretch>
          <a:fillRect/>
        </a:stretch>
      </xdr:blipFill>
      <xdr:spPr>
        <a:xfrm>
          <a:off x="3143660" y="1000984"/>
          <a:ext cx="218638" cy="214959"/>
        </a:xfrm>
        <a:prstGeom prst="rect">
          <a:avLst/>
        </a:prstGeom>
      </xdr:spPr>
    </xdr:pic>
    <xdr:clientData/>
  </xdr:twoCellAnchor>
  <xdr:twoCellAnchor editAs="oneCell">
    <xdr:from>
      <xdr:col>1</xdr:col>
      <xdr:colOff>160175</xdr:colOff>
      <xdr:row>3</xdr:row>
      <xdr:rowOff>118392</xdr:rowOff>
    </xdr:from>
    <xdr:to>
      <xdr:col>1</xdr:col>
      <xdr:colOff>490968</xdr:colOff>
      <xdr:row>5</xdr:row>
      <xdr:rowOff>68580</xdr:rowOff>
    </xdr:to>
    <xdr:pic>
      <xdr:nvPicPr>
        <xdr:cNvPr id="30" name="Graphic 29" descr="Users with solid fill">
          <a:extLst>
            <a:ext uri="{FF2B5EF4-FFF2-40B4-BE49-F238E27FC236}">
              <a16:creationId xmlns:a16="http://schemas.microsoft.com/office/drawing/2014/main" id="{C23B72D7-0912-46F1-981D-4F1712417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772763" y="940157"/>
          <a:ext cx="330793" cy="32371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FF7E8E76-3EB9-4607-978E-4160EED3BDD3}" autoFormatId="16" applyNumberFormats="0" applyBorderFormats="0" applyFontFormats="0" applyPatternFormats="0" applyAlignmentFormats="0" applyWidthHeightFormats="0">
  <queryTableRefresh nextId="3">
    <queryTableFields count="2">
      <queryTableField id="1" name="Department_Name" tableColumnId="1"/>
      <queryTableField id="2" name="Appointment_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074BCBB3-64E4-425D-AE3F-1F8B4A92FB26}" autoFormatId="16" applyNumberFormats="0" applyBorderFormats="0" applyFontFormats="0" applyPatternFormats="0" applyAlignmentFormats="0" applyWidthHeightFormats="0">
  <queryTableRefresh nextId="3">
    <queryTableFields count="2">
      <queryTableField id="1" name="Appointment_Status" tableColumnId="1"/>
      <queryTableField id="2" name="Appointment_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67415C03-7992-4697-8112-EFB01BECC58F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" xr16:uid="{5F7BCE8C-76E9-4EF5-A7F3-96107FEDA499}" autoFormatId="16" applyNumberFormats="0" applyBorderFormats="0" applyFontFormats="0" applyPatternFormats="0" applyAlignmentFormats="0" applyWidthHeightFormats="0">
  <queryTableRefresh nextId="3">
    <queryTableFields count="2">
      <queryTableField id="1" name="Department_Name" tableColumnId="1"/>
      <queryTableField id="2" name="Admission_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BB9C27F8-2245-4E67-B0F8-9AD98A791175}" autoFormatId="16" applyNumberFormats="0" applyBorderFormats="0" applyFontFormats="0" applyPatternFormats="0" applyAlignmentFormats="0" applyWidthHeightFormats="0">
  <queryTableRefresh nextId="4">
    <queryTableFields count="3">
      <queryTableField id="1" name="Doctor_ID" tableColumnId="1"/>
      <queryTableField id="2" name="Doctor_Name" tableColumnId="2"/>
      <queryTableField id="3" name="Appointment_Coun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6287DAA-4781-4680-AD97-650E3B9D3F32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Description" tableColumnId="2"/>
      <queryTableField id="3" name="Kin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AB5D9C-B9F5-400C-A38B-DB6FD4126C3F}" name="Appointment_Dept" displayName="Appointment_Dept" ref="A1:B9" tableType="queryTable" totalsRowShown="0">
  <autoFilter ref="A1:B9" xr:uid="{6BAB5D9C-B9F5-400C-A38B-DB6FD4126C3F}"/>
  <tableColumns count="2">
    <tableColumn id="1" xr3:uid="{7E3877D4-A32C-4FD2-B4FA-0DB06CB11F23}" uniqueName="1" name="Department_Name" queryTableFieldId="1" dataDxfId="7"/>
    <tableColumn id="2" xr3:uid="{F4EAB898-4FFB-4F9A-8C0C-CFA650DEF50B}" uniqueName="2" name="Appointment_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BDE99-2732-4961-8F65-EF6160B1A1D3}" name="Appointment_Status" displayName="Appointment_Status" ref="A1:B5" tableType="queryTable" totalsRowShown="0">
  <autoFilter ref="A1:B5" xr:uid="{AF1BDE99-2732-4961-8F65-EF6160B1A1D3}"/>
  <tableColumns count="2">
    <tableColumn id="1" xr3:uid="{0A293151-C663-428E-96D6-DAB7BDA19FAC}" uniqueName="1" name="Appointment_Status" queryTableFieldId="1" dataDxfId="6"/>
    <tableColumn id="2" xr3:uid="{0F92FCFE-48CB-4757-9BE5-00B4D2EFE79A}" uniqueName="2" name="Appointment_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54DC37-D342-4931-92B7-2ED471416E60}" name="Table5" displayName="Table5" ref="A1:B23" totalsRowShown="0">
  <autoFilter ref="A1:B23" xr:uid="{5B54DC37-D342-4931-92B7-2ED471416E60}"/>
  <tableColumns count="2">
    <tableColumn id="1" xr3:uid="{3A4B6BD7-7EE9-4D6C-AA89-E719748C1AB9}" name="Month"/>
    <tableColumn id="2" xr3:uid="{37672501-4D72-44E3-82EF-F13D8ED06C3F}" name="Appontmen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BF383B8-445E-45FE-B144-42E5EA441CE4}" name="Monthly_Revenue" displayName="Monthly_Revenue" ref="A1:B23" tableType="queryTable" totalsRowShown="0">
  <autoFilter ref="A1:B23" xr:uid="{1BF383B8-445E-45FE-B144-42E5EA441CE4}"/>
  <tableColumns count="2">
    <tableColumn id="1" xr3:uid="{3906B6CA-40BE-4D8B-87FF-453ED9D1CEDF}" uniqueName="1" name="Month" queryTableFieldId="1" dataDxfId="5"/>
    <tableColumn id="2" xr3:uid="{CDF0EACA-13A9-421E-B65E-360A0BCCE39E}" uniqueName="2" name="Reven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B82A2D-BC8C-4D72-8F27-BBA8A16C72F6}" name="Admission_Dept" displayName="Admission_Dept" ref="A1:B9" tableType="queryTable" totalsRowShown="0">
  <autoFilter ref="A1:B9" xr:uid="{5FB82A2D-BC8C-4D72-8F27-BBA8A16C72F6}"/>
  <tableColumns count="2">
    <tableColumn id="1" xr3:uid="{F78A8791-19BE-443D-9B6C-E9A05267993A}" uniqueName="1" name="Department_Name" queryTableFieldId="1" dataDxfId="4"/>
    <tableColumn id="2" xr3:uid="{7DA933BE-5674-4AE9-A263-8EDC15CA0974}" uniqueName="2" name="Admission_Count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566B51-9E28-4207-A17D-BBFB8B2CF913}" name="Top_Doctors" displayName="Top_Doctors" ref="A1:C11" tableType="queryTable" totalsRowShown="0">
  <autoFilter ref="A1:C11" xr:uid="{6F566B51-9E28-4207-A17D-BBFB8B2CF913}"/>
  <tableColumns count="3">
    <tableColumn id="1" xr3:uid="{3AC4BE3D-63C4-45AF-925E-B86574926E68}" uniqueName="1" name="Doctor_ID" queryTableFieldId="1"/>
    <tableColumn id="2" xr3:uid="{87AE05F3-3917-4435-95C2-2EDFCD478D19}" uniqueName="2" name="Doctor_Name" queryTableFieldId="2" dataDxfId="3"/>
    <tableColumn id="3" xr3:uid="{9FBCAFBF-51EF-4465-8BB3-B9AFA4E9F477}" uniqueName="3" name="Appointment_Count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7892F3-886F-47FB-A825-7718FE3AD022}" name="hospital_management_system" displayName="hospital_management_system" ref="A1:C9" tableType="queryTable" totalsRowShown="0">
  <autoFilter ref="A1:C9" xr:uid="{0B7892F3-886F-47FB-A825-7718FE3AD022}"/>
  <tableColumns count="3">
    <tableColumn id="1" xr3:uid="{9A2FCA77-8157-48CF-9007-1440C5DCE866}" uniqueName="1" name="Name" queryTableFieldId="1" dataDxfId="2"/>
    <tableColumn id="2" xr3:uid="{D935C060-12BF-4019-88B9-DC62B8CE1535}" uniqueName="2" name="Description" queryTableFieldId="2" dataDxfId="1"/>
    <tableColumn id="3" xr3:uid="{48BE3890-8A68-4989-BB07-FF3DAD740250}" uniqueName="3" name="Kin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15B7-1882-4AF5-9529-C80288550A97}">
  <dimension ref="B2:M58"/>
  <sheetViews>
    <sheetView showGridLines="0" tabSelected="1" zoomScale="55" zoomScaleNormal="102" workbookViewId="0">
      <selection activeCell="AF18" sqref="AF18"/>
    </sheetView>
  </sheetViews>
  <sheetFormatPr defaultRowHeight="14.4" x14ac:dyDescent="0.3"/>
  <sheetData>
    <row r="2" spans="2:13" ht="28.95" customHeight="1" x14ac:dyDescent="0.3">
      <c r="B2" s="32" t="s">
        <v>76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2:13" ht="22.05" customHeight="1" x14ac:dyDescent="0.3">
      <c r="B3" s="33" t="s">
        <v>81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2:13" x14ac:dyDescent="0.3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2:13" ht="15" customHeight="1" x14ac:dyDescent="0.3">
      <c r="B5" s="10" t="s">
        <v>77</v>
      </c>
      <c r="C5" s="11"/>
      <c r="D5" s="12"/>
      <c r="E5" s="9"/>
      <c r="F5" s="10" t="s">
        <v>78</v>
      </c>
      <c r="G5" s="11"/>
      <c r="H5" s="12"/>
      <c r="I5" s="9"/>
      <c r="J5" s="10" t="s">
        <v>82</v>
      </c>
      <c r="K5" s="11"/>
      <c r="L5" s="12"/>
      <c r="M5" s="9"/>
    </row>
    <row r="6" spans="2:13" ht="14.4" customHeight="1" x14ac:dyDescent="0.3">
      <c r="B6" s="13">
        <f>KPI_Data!C4</f>
        <v>100</v>
      </c>
      <c r="C6" s="14"/>
      <c r="D6" s="15"/>
      <c r="E6" s="9"/>
      <c r="F6" s="13">
        <f>KPI_Data!C5</f>
        <v>400</v>
      </c>
      <c r="G6" s="14"/>
      <c r="H6" s="15"/>
      <c r="I6" s="9"/>
      <c r="J6" s="13">
        <f>KPI_Data!C7</f>
        <v>102</v>
      </c>
      <c r="K6" s="14"/>
      <c r="L6" s="15"/>
      <c r="M6" s="9"/>
    </row>
    <row r="7" spans="2:13" ht="14.4" customHeight="1" x14ac:dyDescent="0.3">
      <c r="B7" s="13"/>
      <c r="C7" s="14"/>
      <c r="D7" s="15"/>
      <c r="E7" s="9"/>
      <c r="F7" s="13"/>
      <c r="G7" s="14"/>
      <c r="H7" s="15"/>
      <c r="I7" s="9"/>
      <c r="J7" s="13"/>
      <c r="K7" s="14"/>
      <c r="L7" s="15"/>
      <c r="M7" s="9"/>
    </row>
    <row r="8" spans="2:13" ht="14.4" customHeight="1" x14ac:dyDescent="0.3">
      <c r="B8" s="16"/>
      <c r="C8" s="17"/>
      <c r="D8" s="18"/>
      <c r="E8" s="9"/>
      <c r="F8" s="16"/>
      <c r="G8" s="17"/>
      <c r="H8" s="18"/>
      <c r="I8" s="9"/>
      <c r="J8" s="16"/>
      <c r="K8" s="17"/>
      <c r="L8" s="18"/>
      <c r="M8" s="9"/>
    </row>
    <row r="9" spans="2:13" x14ac:dyDescent="0.3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2:13" x14ac:dyDescent="0.3">
      <c r="B10" s="10" t="s">
        <v>83</v>
      </c>
      <c r="C10" s="11"/>
      <c r="D10" s="12"/>
      <c r="E10" s="9"/>
      <c r="F10" s="10" t="s">
        <v>79</v>
      </c>
      <c r="G10" s="11"/>
      <c r="H10" s="12"/>
      <c r="I10" s="9"/>
      <c r="J10" s="10" t="s">
        <v>80</v>
      </c>
      <c r="K10" s="11"/>
      <c r="L10" s="12"/>
      <c r="M10" s="9"/>
    </row>
    <row r="11" spans="2:13" ht="14.4" customHeight="1" x14ac:dyDescent="0.3">
      <c r="B11" s="13">
        <f>KPI_Data!C8</f>
        <v>20</v>
      </c>
      <c r="C11" s="14"/>
      <c r="D11" s="15"/>
      <c r="E11" s="9"/>
      <c r="F11" s="19">
        <f>KPI_Data!C9</f>
        <v>594200</v>
      </c>
      <c r="G11" s="20"/>
      <c r="H11" s="21"/>
      <c r="I11" s="9"/>
      <c r="J11" s="26">
        <f>KPI_Data!C13</f>
        <v>16.2</v>
      </c>
      <c r="K11" s="27"/>
      <c r="L11" s="28"/>
      <c r="M11" s="9"/>
    </row>
    <row r="12" spans="2:13" ht="14.4" customHeight="1" x14ac:dyDescent="0.3">
      <c r="B12" s="13"/>
      <c r="C12" s="14"/>
      <c r="D12" s="15"/>
      <c r="E12" s="9"/>
      <c r="F12" s="22"/>
      <c r="G12" s="20"/>
      <c r="H12" s="21"/>
      <c r="I12" s="9"/>
      <c r="J12" s="26"/>
      <c r="K12" s="27"/>
      <c r="L12" s="28"/>
      <c r="M12" s="9"/>
    </row>
    <row r="13" spans="2:13" ht="14.4" customHeight="1" x14ac:dyDescent="0.3">
      <c r="B13" s="16"/>
      <c r="C13" s="17"/>
      <c r="D13" s="18"/>
      <c r="E13" s="9"/>
      <c r="F13" s="23"/>
      <c r="G13" s="24"/>
      <c r="H13" s="25"/>
      <c r="I13" s="9"/>
      <c r="J13" s="29"/>
      <c r="K13" s="30"/>
      <c r="L13" s="31"/>
      <c r="M13" s="9"/>
    </row>
    <row r="14" spans="2:13" x14ac:dyDescent="0.3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2:13" x14ac:dyDescent="0.3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2:13" x14ac:dyDescent="0.3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2:13" x14ac:dyDescent="0.3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2:13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2:13" x14ac:dyDescent="0.3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2:13" x14ac:dyDescent="0.3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2:13" x14ac:dyDescent="0.3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2:13" x14ac:dyDescent="0.3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2:13" x14ac:dyDescent="0.3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2:13" x14ac:dyDescent="0.3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2:13" x14ac:dyDescent="0.3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2:13" x14ac:dyDescent="0.3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2:13" x14ac:dyDescent="0.3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2:13" x14ac:dyDescent="0.3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2:13" x14ac:dyDescent="0.3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2:13" x14ac:dyDescent="0.3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 spans="2:13" x14ac:dyDescent="0.3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2:13" x14ac:dyDescent="0.3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 spans="2:13" x14ac:dyDescent="0.3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spans="2:13" x14ac:dyDescent="0.3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2:13" x14ac:dyDescent="0.3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 spans="2:13" x14ac:dyDescent="0.3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2:13" x14ac:dyDescent="0.3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2:13" x14ac:dyDescent="0.3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2:13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2:13" x14ac:dyDescent="0.3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2:13" x14ac:dyDescent="0.3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 spans="2:13" x14ac:dyDescent="0.3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 spans="2:13" x14ac:dyDescent="0.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spans="2:13" x14ac:dyDescent="0.3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 spans="2:13" x14ac:dyDescent="0.3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spans="2:13" x14ac:dyDescent="0.3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2:13" x14ac:dyDescent="0.3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 spans="2:13" x14ac:dyDescent="0.3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spans="2:13" x14ac:dyDescent="0.3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2:13" x14ac:dyDescent="0.3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 spans="2:13" x14ac:dyDescent="0.3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2:13" x14ac:dyDescent="0.3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2:13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2:13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2:13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2:13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8" spans="2:13" x14ac:dyDescent="0.3">
      <c r="H58" s="34"/>
    </row>
  </sheetData>
  <mergeCells count="14">
    <mergeCell ref="B2:M2"/>
    <mergeCell ref="B3:M3"/>
    <mergeCell ref="B5:D5"/>
    <mergeCell ref="B6:D8"/>
    <mergeCell ref="F5:H5"/>
    <mergeCell ref="F6:H8"/>
    <mergeCell ref="J5:L5"/>
    <mergeCell ref="J6:L8"/>
    <mergeCell ref="B10:D10"/>
    <mergeCell ref="F10:H10"/>
    <mergeCell ref="J10:L10"/>
    <mergeCell ref="B11:D13"/>
    <mergeCell ref="F11:H13"/>
    <mergeCell ref="J11:L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5D44-C93B-4FEF-8311-F27BAC331629}">
  <dimension ref="B3:C13"/>
  <sheetViews>
    <sheetView zoomScale="77" workbookViewId="0">
      <selection activeCell="B22" sqref="B22"/>
    </sheetView>
  </sheetViews>
  <sheetFormatPr defaultRowHeight="14.4" x14ac:dyDescent="0.3"/>
  <cols>
    <col min="1" max="3" width="23.88671875" bestFit="1" customWidth="1"/>
    <col min="4" max="4" width="19" bestFit="1" customWidth="1"/>
    <col min="5" max="5" width="21" bestFit="1" customWidth="1"/>
    <col min="6" max="6" width="25.88671875" bestFit="1" customWidth="1"/>
    <col min="7" max="7" width="25.109375" bestFit="1" customWidth="1"/>
    <col min="8" max="8" width="23.21875" bestFit="1" customWidth="1"/>
    <col min="9" max="9" width="21.33203125" bestFit="1" customWidth="1"/>
    <col min="10" max="10" width="17.109375" bestFit="1" customWidth="1"/>
  </cols>
  <sheetData>
    <row r="3" spans="2:3" x14ac:dyDescent="0.3">
      <c r="B3" s="4" t="s">
        <v>72</v>
      </c>
      <c r="C3" s="4" t="s">
        <v>73</v>
      </c>
    </row>
    <row r="4" spans="2:3" x14ac:dyDescent="0.3">
      <c r="B4" s="1" t="s">
        <v>13</v>
      </c>
      <c r="C4" s="7">
        <v>100</v>
      </c>
    </row>
    <row r="5" spans="2:3" x14ac:dyDescent="0.3">
      <c r="B5" s="3" t="s">
        <v>14</v>
      </c>
      <c r="C5" s="8">
        <v>400</v>
      </c>
    </row>
    <row r="6" spans="2:3" x14ac:dyDescent="0.3">
      <c r="B6" s="3" t="s">
        <v>15</v>
      </c>
      <c r="C6" s="8">
        <v>220</v>
      </c>
    </row>
    <row r="7" spans="2:3" x14ac:dyDescent="0.3">
      <c r="B7" s="3" t="s">
        <v>16</v>
      </c>
      <c r="C7" s="8">
        <v>102</v>
      </c>
    </row>
    <row r="8" spans="2:3" x14ac:dyDescent="0.3">
      <c r="B8" s="3" t="s">
        <v>17</v>
      </c>
      <c r="C8" s="8">
        <v>20</v>
      </c>
    </row>
    <row r="9" spans="2:3" x14ac:dyDescent="0.3">
      <c r="B9" s="3" t="s">
        <v>18</v>
      </c>
      <c r="C9" s="5">
        <v>594200</v>
      </c>
    </row>
    <row r="10" spans="2:3" x14ac:dyDescent="0.3">
      <c r="B10" s="3" t="s">
        <v>19</v>
      </c>
      <c r="C10" s="5">
        <v>173100</v>
      </c>
    </row>
    <row r="11" spans="2:3" x14ac:dyDescent="0.3">
      <c r="B11" s="3" t="s">
        <v>20</v>
      </c>
      <c r="C11" s="5">
        <v>835</v>
      </c>
    </row>
    <row r="12" spans="2:3" x14ac:dyDescent="0.3">
      <c r="B12" s="3" t="s">
        <v>21</v>
      </c>
      <c r="C12" s="5">
        <v>5305.36</v>
      </c>
    </row>
    <row r="13" spans="2:3" x14ac:dyDescent="0.3">
      <c r="B13" s="2" t="s">
        <v>22</v>
      </c>
      <c r="C13" s="6">
        <v>16.2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44DE-676A-4502-BF37-F67AA8EDE11B}">
  <dimension ref="A1:B9"/>
  <sheetViews>
    <sheetView workbookViewId="0">
      <selection sqref="A1:B1"/>
    </sheetView>
  </sheetViews>
  <sheetFormatPr defaultRowHeight="14.4" x14ac:dyDescent="0.3"/>
  <cols>
    <col min="1" max="1" width="19.5546875" bestFit="1" customWidth="1"/>
    <col min="2" max="2" width="20.77734375" bestFit="1" customWidth="1"/>
  </cols>
  <sheetData>
    <row r="1" spans="1:2" x14ac:dyDescent="0.3">
      <c r="A1" t="s">
        <v>23</v>
      </c>
      <c r="B1" t="s">
        <v>24</v>
      </c>
    </row>
    <row r="2" spans="1:2" x14ac:dyDescent="0.3">
      <c r="A2" t="s">
        <v>25</v>
      </c>
      <c r="B2">
        <v>76</v>
      </c>
    </row>
    <row r="3" spans="1:2" x14ac:dyDescent="0.3">
      <c r="A3" t="s">
        <v>26</v>
      </c>
      <c r="B3">
        <v>70</v>
      </c>
    </row>
    <row r="4" spans="1:2" x14ac:dyDescent="0.3">
      <c r="A4" t="s">
        <v>27</v>
      </c>
      <c r="B4">
        <v>57</v>
      </c>
    </row>
    <row r="5" spans="1:2" x14ac:dyDescent="0.3">
      <c r="A5" t="s">
        <v>28</v>
      </c>
      <c r="B5">
        <v>44</v>
      </c>
    </row>
    <row r="6" spans="1:2" x14ac:dyDescent="0.3">
      <c r="A6" t="s">
        <v>29</v>
      </c>
      <c r="B6">
        <v>41</v>
      </c>
    </row>
    <row r="7" spans="1:2" x14ac:dyDescent="0.3">
      <c r="A7" t="s">
        <v>30</v>
      </c>
      <c r="B7">
        <v>38</v>
      </c>
    </row>
    <row r="8" spans="1:2" x14ac:dyDescent="0.3">
      <c r="A8" t="s">
        <v>31</v>
      </c>
      <c r="B8">
        <v>37</v>
      </c>
    </row>
    <row r="9" spans="1:2" x14ac:dyDescent="0.3">
      <c r="A9" t="s">
        <v>32</v>
      </c>
      <c r="B9">
        <v>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62354-8071-4830-B2F3-7F4C499B0277}">
  <dimension ref="A1:B5"/>
  <sheetViews>
    <sheetView workbookViewId="0">
      <selection activeCell="C23" sqref="C23"/>
    </sheetView>
  </sheetViews>
  <sheetFormatPr defaultRowHeight="14.4" x14ac:dyDescent="0.3"/>
  <cols>
    <col min="1" max="1" width="20.88671875" bestFit="1" customWidth="1"/>
    <col min="2" max="2" width="20.77734375" bestFit="1" customWidth="1"/>
  </cols>
  <sheetData>
    <row r="1" spans="1:2" x14ac:dyDescent="0.3">
      <c r="A1" t="s">
        <v>33</v>
      </c>
      <c r="B1" t="s">
        <v>24</v>
      </c>
    </row>
    <row r="2" spans="1:2" x14ac:dyDescent="0.3">
      <c r="A2" t="s">
        <v>84</v>
      </c>
      <c r="B2">
        <v>221</v>
      </c>
    </row>
    <row r="3" spans="1:2" x14ac:dyDescent="0.3">
      <c r="A3" t="s">
        <v>85</v>
      </c>
      <c r="B3">
        <v>111</v>
      </c>
    </row>
    <row r="4" spans="1:2" x14ac:dyDescent="0.3">
      <c r="A4" t="s">
        <v>34</v>
      </c>
      <c r="B4">
        <v>43</v>
      </c>
    </row>
    <row r="5" spans="1:2" x14ac:dyDescent="0.3">
      <c r="A5" t="s">
        <v>35</v>
      </c>
      <c r="B5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EE59-7E07-4AF4-AD92-72184D3A3F3F}">
  <dimension ref="A1:B23"/>
  <sheetViews>
    <sheetView workbookViewId="0">
      <selection activeCell="H17" sqref="H17"/>
    </sheetView>
  </sheetViews>
  <sheetFormatPr defaultRowHeight="14.4" x14ac:dyDescent="0.3"/>
  <cols>
    <col min="1" max="1" width="10.44140625" customWidth="1"/>
    <col min="2" max="2" width="14" bestFit="1" customWidth="1"/>
  </cols>
  <sheetData>
    <row r="1" spans="1:2" x14ac:dyDescent="0.3">
      <c r="A1" t="s">
        <v>36</v>
      </c>
      <c r="B1" t="s">
        <v>86</v>
      </c>
    </row>
    <row r="2" spans="1:2" x14ac:dyDescent="0.3">
      <c r="A2" t="s">
        <v>37</v>
      </c>
      <c r="B2">
        <v>1</v>
      </c>
    </row>
    <row r="3" spans="1:2" x14ac:dyDescent="0.3">
      <c r="A3" t="s">
        <v>38</v>
      </c>
      <c r="B3">
        <v>4</v>
      </c>
    </row>
    <row r="4" spans="1:2" x14ac:dyDescent="0.3">
      <c r="A4" t="s">
        <v>39</v>
      </c>
      <c r="B4">
        <v>5</v>
      </c>
    </row>
    <row r="5" spans="1:2" x14ac:dyDescent="0.3">
      <c r="A5" t="s">
        <v>40</v>
      </c>
      <c r="B5">
        <v>7</v>
      </c>
    </row>
    <row r="6" spans="1:2" x14ac:dyDescent="0.3">
      <c r="A6" t="s">
        <v>41</v>
      </c>
      <c r="B6">
        <v>6</v>
      </c>
    </row>
    <row r="7" spans="1:2" x14ac:dyDescent="0.3">
      <c r="A7" t="s">
        <v>42</v>
      </c>
      <c r="B7">
        <v>9</v>
      </c>
    </row>
    <row r="8" spans="1:2" x14ac:dyDescent="0.3">
      <c r="A8" t="s">
        <v>43</v>
      </c>
      <c r="B8">
        <v>8</v>
      </c>
    </row>
    <row r="9" spans="1:2" x14ac:dyDescent="0.3">
      <c r="A9" t="s">
        <v>44</v>
      </c>
      <c r="B9">
        <v>22</v>
      </c>
    </row>
    <row r="10" spans="1:2" x14ac:dyDescent="0.3">
      <c r="A10" t="s">
        <v>45</v>
      </c>
      <c r="B10">
        <v>13</v>
      </c>
    </row>
    <row r="11" spans="1:2" x14ac:dyDescent="0.3">
      <c r="A11" t="s">
        <v>46</v>
      </c>
      <c r="B11">
        <v>20</v>
      </c>
    </row>
    <row r="12" spans="1:2" x14ac:dyDescent="0.3">
      <c r="A12" t="s">
        <v>47</v>
      </c>
      <c r="B12">
        <v>9</v>
      </c>
    </row>
    <row r="13" spans="1:2" x14ac:dyDescent="0.3">
      <c r="A13" t="s">
        <v>48</v>
      </c>
      <c r="B13">
        <v>18</v>
      </c>
    </row>
    <row r="14" spans="1:2" x14ac:dyDescent="0.3">
      <c r="A14" t="s">
        <v>49</v>
      </c>
      <c r="B14">
        <v>21</v>
      </c>
    </row>
    <row r="15" spans="1:2" x14ac:dyDescent="0.3">
      <c r="A15" t="s">
        <v>50</v>
      </c>
      <c r="B15">
        <v>22</v>
      </c>
    </row>
    <row r="16" spans="1:2" x14ac:dyDescent="0.3">
      <c r="A16" t="s">
        <v>51</v>
      </c>
      <c r="B16">
        <v>21</v>
      </c>
    </row>
    <row r="17" spans="1:2" x14ac:dyDescent="0.3">
      <c r="A17" t="s">
        <v>52</v>
      </c>
      <c r="B17">
        <v>20</v>
      </c>
    </row>
    <row r="18" spans="1:2" x14ac:dyDescent="0.3">
      <c r="A18" t="s">
        <v>53</v>
      </c>
      <c r="B18">
        <v>24</v>
      </c>
    </row>
    <row r="19" spans="1:2" x14ac:dyDescent="0.3">
      <c r="A19" t="s">
        <v>54</v>
      </c>
      <c r="B19">
        <v>30</v>
      </c>
    </row>
    <row r="20" spans="1:2" x14ac:dyDescent="0.3">
      <c r="A20" t="s">
        <v>55</v>
      </c>
      <c r="B20">
        <v>30</v>
      </c>
    </row>
    <row r="21" spans="1:2" x14ac:dyDescent="0.3">
      <c r="A21" t="s">
        <v>56</v>
      </c>
      <c r="B21">
        <v>42</v>
      </c>
    </row>
    <row r="22" spans="1:2" x14ac:dyDescent="0.3">
      <c r="A22" t="s">
        <v>57</v>
      </c>
      <c r="B22">
        <v>34</v>
      </c>
    </row>
    <row r="23" spans="1:2" x14ac:dyDescent="0.3">
      <c r="A23" t="s">
        <v>58</v>
      </c>
      <c r="B23">
        <v>34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7E78-B7E0-47E6-A15D-63EA72D0066E}">
  <dimension ref="A1:B23"/>
  <sheetViews>
    <sheetView workbookViewId="0">
      <selection activeCell="B22" sqref="B22"/>
    </sheetView>
  </sheetViews>
  <sheetFormatPr defaultRowHeight="14.4" x14ac:dyDescent="0.3"/>
  <cols>
    <col min="1" max="1" width="9" bestFit="1" customWidth="1"/>
    <col min="2" max="2" width="10.5546875" bestFit="1" customWidth="1"/>
  </cols>
  <sheetData>
    <row r="1" spans="1:2" x14ac:dyDescent="0.3">
      <c r="A1" t="s">
        <v>36</v>
      </c>
      <c r="B1" t="s">
        <v>74</v>
      </c>
    </row>
    <row r="2" spans="1:2" x14ac:dyDescent="0.3">
      <c r="A2" t="s">
        <v>38</v>
      </c>
      <c r="B2">
        <v>1400</v>
      </c>
    </row>
    <row r="3" spans="1:2" x14ac:dyDescent="0.3">
      <c r="A3" t="s">
        <v>39</v>
      </c>
      <c r="B3">
        <v>1900</v>
      </c>
    </row>
    <row r="4" spans="1:2" x14ac:dyDescent="0.3">
      <c r="A4" t="s">
        <v>40</v>
      </c>
      <c r="B4">
        <v>1100</v>
      </c>
    </row>
    <row r="5" spans="1:2" x14ac:dyDescent="0.3">
      <c r="A5" t="s">
        <v>41</v>
      </c>
      <c r="B5">
        <v>71300</v>
      </c>
    </row>
    <row r="6" spans="1:2" x14ac:dyDescent="0.3">
      <c r="A6" t="s">
        <v>42</v>
      </c>
      <c r="B6">
        <v>900</v>
      </c>
    </row>
    <row r="7" spans="1:2" x14ac:dyDescent="0.3">
      <c r="A7" t="s">
        <v>43</v>
      </c>
      <c r="B7">
        <v>13500</v>
      </c>
    </row>
    <row r="8" spans="1:2" x14ac:dyDescent="0.3">
      <c r="A8" t="s">
        <v>44</v>
      </c>
      <c r="B8">
        <v>39400</v>
      </c>
    </row>
    <row r="9" spans="1:2" x14ac:dyDescent="0.3">
      <c r="A9" t="s">
        <v>45</v>
      </c>
      <c r="B9">
        <v>12000</v>
      </c>
    </row>
    <row r="10" spans="1:2" x14ac:dyDescent="0.3">
      <c r="A10" t="s">
        <v>46</v>
      </c>
      <c r="B10">
        <v>5400</v>
      </c>
    </row>
    <row r="11" spans="1:2" x14ac:dyDescent="0.3">
      <c r="A11" t="s">
        <v>47</v>
      </c>
      <c r="B11">
        <v>3800</v>
      </c>
    </row>
    <row r="12" spans="1:2" x14ac:dyDescent="0.3">
      <c r="A12" t="s">
        <v>48</v>
      </c>
      <c r="B12">
        <v>4500</v>
      </c>
    </row>
    <row r="13" spans="1:2" x14ac:dyDescent="0.3">
      <c r="A13" t="s">
        <v>49</v>
      </c>
      <c r="B13">
        <v>5100</v>
      </c>
    </row>
    <row r="14" spans="1:2" x14ac:dyDescent="0.3">
      <c r="A14" t="s">
        <v>50</v>
      </c>
      <c r="B14">
        <v>24300</v>
      </c>
    </row>
    <row r="15" spans="1:2" x14ac:dyDescent="0.3">
      <c r="A15" t="s">
        <v>51</v>
      </c>
      <c r="B15">
        <v>28800</v>
      </c>
    </row>
    <row r="16" spans="1:2" x14ac:dyDescent="0.3">
      <c r="A16" t="s">
        <v>52</v>
      </c>
      <c r="B16">
        <v>2400</v>
      </c>
    </row>
    <row r="17" spans="1:2" x14ac:dyDescent="0.3">
      <c r="A17" t="s">
        <v>53</v>
      </c>
      <c r="B17">
        <v>33400</v>
      </c>
    </row>
    <row r="18" spans="1:2" x14ac:dyDescent="0.3">
      <c r="A18" t="s">
        <v>54</v>
      </c>
      <c r="B18">
        <v>71400</v>
      </c>
    </row>
    <row r="19" spans="1:2" x14ac:dyDescent="0.3">
      <c r="A19" t="s">
        <v>55</v>
      </c>
      <c r="B19">
        <v>95800</v>
      </c>
    </row>
    <row r="20" spans="1:2" x14ac:dyDescent="0.3">
      <c r="A20" t="s">
        <v>56</v>
      </c>
      <c r="B20">
        <v>89800</v>
      </c>
    </row>
    <row r="21" spans="1:2" x14ac:dyDescent="0.3">
      <c r="A21" t="s">
        <v>57</v>
      </c>
      <c r="B21">
        <v>10900</v>
      </c>
    </row>
    <row r="22" spans="1:2" x14ac:dyDescent="0.3">
      <c r="A22" t="s">
        <v>58</v>
      </c>
      <c r="B22">
        <v>16600</v>
      </c>
    </row>
    <row r="23" spans="1:2" x14ac:dyDescent="0.3">
      <c r="A23" t="s">
        <v>75</v>
      </c>
      <c r="B23">
        <v>60500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D809-B7DE-4365-8346-2770B7C0360D}">
  <dimension ref="A1:B9"/>
  <sheetViews>
    <sheetView workbookViewId="0">
      <selection activeCell="C16" sqref="C16"/>
    </sheetView>
  </sheetViews>
  <sheetFormatPr defaultRowHeight="14.4" x14ac:dyDescent="0.3"/>
  <cols>
    <col min="1" max="1" width="19.5546875" bestFit="1" customWidth="1"/>
    <col min="2" max="2" width="18.109375" bestFit="1" customWidth="1"/>
  </cols>
  <sheetData>
    <row r="1" spans="1:2" x14ac:dyDescent="0.3">
      <c r="A1" t="s">
        <v>23</v>
      </c>
      <c r="B1" t="s">
        <v>59</v>
      </c>
    </row>
    <row r="2" spans="1:2" x14ac:dyDescent="0.3">
      <c r="A2" t="s">
        <v>27</v>
      </c>
      <c r="B2">
        <v>21</v>
      </c>
    </row>
    <row r="3" spans="1:2" x14ac:dyDescent="0.3">
      <c r="A3" t="s">
        <v>26</v>
      </c>
      <c r="B3">
        <v>21</v>
      </c>
    </row>
    <row r="4" spans="1:2" x14ac:dyDescent="0.3">
      <c r="A4" t="s">
        <v>25</v>
      </c>
      <c r="B4">
        <v>15</v>
      </c>
    </row>
    <row r="5" spans="1:2" x14ac:dyDescent="0.3">
      <c r="A5" t="s">
        <v>28</v>
      </c>
      <c r="B5">
        <v>13</v>
      </c>
    </row>
    <row r="6" spans="1:2" x14ac:dyDescent="0.3">
      <c r="A6" t="s">
        <v>32</v>
      </c>
      <c r="B6">
        <v>10</v>
      </c>
    </row>
    <row r="7" spans="1:2" x14ac:dyDescent="0.3">
      <c r="A7" t="s">
        <v>29</v>
      </c>
      <c r="B7">
        <v>9</v>
      </c>
    </row>
    <row r="8" spans="1:2" x14ac:dyDescent="0.3">
      <c r="A8" t="s">
        <v>30</v>
      </c>
      <c r="B8">
        <v>9</v>
      </c>
    </row>
    <row r="9" spans="1:2" x14ac:dyDescent="0.3">
      <c r="A9" t="s">
        <v>31</v>
      </c>
      <c r="B9">
        <v>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468F-661C-4FE0-B7AD-028B0E3993A4}">
  <dimension ref="A1:C11"/>
  <sheetViews>
    <sheetView workbookViewId="0">
      <selection activeCell="C28" sqref="C28"/>
    </sheetView>
  </sheetViews>
  <sheetFormatPr defaultRowHeight="14.4" x14ac:dyDescent="0.3"/>
  <cols>
    <col min="1" max="1" width="11.6640625" bestFit="1" customWidth="1"/>
    <col min="2" max="2" width="14.88671875" bestFit="1" customWidth="1"/>
    <col min="3" max="3" width="20.77734375" bestFit="1" customWidth="1"/>
  </cols>
  <sheetData>
    <row r="1" spans="1:3" x14ac:dyDescent="0.3">
      <c r="A1" t="s">
        <v>60</v>
      </c>
      <c r="B1" t="s">
        <v>61</v>
      </c>
      <c r="C1" t="s">
        <v>24</v>
      </c>
    </row>
    <row r="2" spans="1:3" x14ac:dyDescent="0.3">
      <c r="A2">
        <v>3</v>
      </c>
      <c r="B2" t="s">
        <v>62</v>
      </c>
      <c r="C2">
        <v>33</v>
      </c>
    </row>
    <row r="3" spans="1:3" x14ac:dyDescent="0.3">
      <c r="A3">
        <v>12</v>
      </c>
      <c r="B3" t="s">
        <v>63</v>
      </c>
      <c r="C3">
        <v>33</v>
      </c>
    </row>
    <row r="4" spans="1:3" x14ac:dyDescent="0.3">
      <c r="A4">
        <v>15</v>
      </c>
      <c r="B4" t="s">
        <v>64</v>
      </c>
      <c r="C4">
        <v>24</v>
      </c>
    </row>
    <row r="5" spans="1:3" x14ac:dyDescent="0.3">
      <c r="A5">
        <v>13</v>
      </c>
      <c r="B5" t="s">
        <v>65</v>
      </c>
      <c r="C5">
        <v>23</v>
      </c>
    </row>
    <row r="6" spans="1:3" x14ac:dyDescent="0.3">
      <c r="A6">
        <v>4</v>
      </c>
      <c r="B6" t="s">
        <v>66</v>
      </c>
      <c r="C6">
        <v>22</v>
      </c>
    </row>
    <row r="7" spans="1:3" x14ac:dyDescent="0.3">
      <c r="A7">
        <v>10</v>
      </c>
      <c r="B7" t="s">
        <v>67</v>
      </c>
      <c r="C7">
        <v>22</v>
      </c>
    </row>
    <row r="8" spans="1:3" x14ac:dyDescent="0.3">
      <c r="A8">
        <v>2</v>
      </c>
      <c r="B8" t="s">
        <v>68</v>
      </c>
      <c r="C8">
        <v>21</v>
      </c>
    </row>
    <row r="9" spans="1:3" x14ac:dyDescent="0.3">
      <c r="A9">
        <v>20</v>
      </c>
      <c r="B9" t="s">
        <v>69</v>
      </c>
      <c r="C9">
        <v>21</v>
      </c>
    </row>
    <row r="10" spans="1:3" x14ac:dyDescent="0.3">
      <c r="A10">
        <v>6</v>
      </c>
      <c r="B10" t="s">
        <v>70</v>
      </c>
      <c r="C10">
        <v>21</v>
      </c>
    </row>
    <row r="11" spans="1:3" x14ac:dyDescent="0.3">
      <c r="A11">
        <v>11</v>
      </c>
      <c r="B11" t="s">
        <v>71</v>
      </c>
      <c r="C11">
        <v>21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1A3E-BDF0-4532-87BC-2F602D66A5AD}">
  <dimension ref="A1:C9"/>
  <sheetViews>
    <sheetView workbookViewId="0">
      <selection activeCell="B14" sqref="B14"/>
    </sheetView>
  </sheetViews>
  <sheetFormatPr defaultRowHeight="14.4" x14ac:dyDescent="0.3"/>
  <cols>
    <col min="1" max="1" width="12.21875" bestFit="1" customWidth="1"/>
    <col min="2" max="2" width="12.6640625" bestFit="1" customWidth="1"/>
    <col min="3" max="3" width="7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4</v>
      </c>
      <c r="C7" t="s">
        <v>5</v>
      </c>
    </row>
    <row r="8" spans="1:3" x14ac:dyDescent="0.3">
      <c r="A8" t="s">
        <v>11</v>
      </c>
      <c r="B8" t="s">
        <v>4</v>
      </c>
      <c r="C8" t="s">
        <v>5</v>
      </c>
    </row>
    <row r="9" spans="1:3" x14ac:dyDescent="0.3">
      <c r="A9" t="s">
        <v>12</v>
      </c>
      <c r="B9" t="s">
        <v>4</v>
      </c>
      <c r="C9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CE3EC0-60C3-4295-89CF-F8BD1DDE06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KPI_Data</vt:lpstr>
      <vt:lpstr>Appointment_Dept</vt:lpstr>
      <vt:lpstr>Appointment_Status</vt:lpstr>
      <vt:lpstr>Monthly_Appointments</vt:lpstr>
      <vt:lpstr>Monthly_Revenue</vt:lpstr>
      <vt:lpstr>Admission_Dept</vt:lpstr>
      <vt:lpstr>Top_Doctors</vt:lpstr>
      <vt:lpstr>hospital_management_system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pabhat kumar padhy</dc:creator>
  <cp:lastModifiedBy>pabhat kumar padhy</cp:lastModifiedBy>
  <dcterms:created xsi:type="dcterms:W3CDTF">2026-09-13T19:26:02Z</dcterms:created>
  <dcterms:modified xsi:type="dcterms:W3CDTF">2026-09-17T10:48:08Z</dcterms:modified>
</cp:coreProperties>
</file>